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96ed3708179ee74a/CloudUmschulungStart2025/Projekte/Python Spielwiese/"/>
    </mc:Choice>
  </mc:AlternateContent>
  <xr:revisionPtr revIDLastSave="54" documentId="11_2B59628F926DDBCF53F737D05FECC0F5554FFFA6" xr6:coauthVersionLast="47" xr6:coauthVersionMax="47" xr10:uidLastSave="{09B72872-9F62-43F4-8416-96976B362A18}"/>
  <bookViews>
    <workbookView xWindow="-28920" yWindow="2100" windowWidth="29040" windowHeight="16440" xr2:uid="{00000000-000D-0000-FFFF-FFFF00000000}"/>
  </bookViews>
  <sheets>
    <sheet name="Damage Calc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D27" i="1"/>
  <c r="E27" i="1"/>
  <c r="F27" i="1"/>
  <c r="G27" i="1"/>
  <c r="H27" i="1"/>
  <c r="B27" i="1"/>
  <c r="D30" i="1"/>
  <c r="E30" i="1"/>
  <c r="F30" i="1"/>
  <c r="G30" i="1"/>
  <c r="H30" i="1"/>
  <c r="D29" i="1"/>
  <c r="E29" i="1"/>
  <c r="F29" i="1"/>
  <c r="G29" i="1"/>
  <c r="H29" i="1"/>
  <c r="D28" i="1"/>
  <c r="E28" i="1"/>
  <c r="F28" i="1"/>
  <c r="G28" i="1"/>
  <c r="H28" i="1"/>
  <c r="C30" i="1"/>
  <c r="B30" i="1"/>
  <c r="C29" i="1"/>
  <c r="B29" i="1"/>
  <c r="C28" i="1"/>
  <c r="B28" i="1"/>
</calcChain>
</file>

<file path=xl/sharedStrings.xml><?xml version="1.0" encoding="utf-8"?>
<sst xmlns="http://schemas.openxmlformats.org/spreadsheetml/2006/main" count="30" uniqueCount="29">
  <si>
    <t>DAMAGE CALCULATION FORMULAS</t>
  </si>
  <si>
    <t>Normal Hit Damage Formula:</t>
  </si>
  <si>
    <t>%DMG Bonus = 1 + (Elemental Bonus + Skill Bonus + Other Bonuses) / 100</t>
  </si>
  <si>
    <t>Normal DMG = ATK * %DMG Bonus</t>
  </si>
  <si>
    <t>Critical Hit Damage Formula:</t>
  </si>
  <si>
    <t>Crit Multiplier = 1 + (CD / 100)</t>
  </si>
  <si>
    <t>Crit DMG = ATK * %DMG Bonus * Crit Multiplier</t>
  </si>
  <si>
    <t>Expected Average Damage Formula:</t>
  </si>
  <si>
    <t>Expected Crit Multiplier = 1 + (CC / 100) * (CD / 100)</t>
  </si>
  <si>
    <t>Expected Avg DMG = ATK * %DMG Bonus * Expected Crit Multiplier</t>
  </si>
  <si>
    <t>INPUT VALUES</t>
  </si>
  <si>
    <t>Stat</t>
  </si>
  <si>
    <t>Attack (ATK)</t>
  </si>
  <si>
    <t>Elemental Bonus (%)</t>
  </si>
  <si>
    <t>Skill Bonus (%)</t>
  </si>
  <si>
    <t>Other Bonuses (%)</t>
  </si>
  <si>
    <t>Critical Hit Chance (CC) (%)</t>
  </si>
  <si>
    <t>Critical Hit Damage (CD) (%)</t>
  </si>
  <si>
    <t>CALCULATED RESULTS</t>
  </si>
  <si>
    <t>Normal Hit Damage</t>
  </si>
  <si>
    <t>Critical Hit Damage</t>
  </si>
  <si>
    <t>Expected Average Damage</t>
  </si>
  <si>
    <t>Iteration 4</t>
  </si>
  <si>
    <t>Iteration 5</t>
  </si>
  <si>
    <t>Iteration 6</t>
  </si>
  <si>
    <t>Iteration 7</t>
  </si>
  <si>
    <t>Iuno 1</t>
  </si>
  <si>
    <t>Iuno 2</t>
  </si>
  <si>
    <t>Augusta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</si>
</sst>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1" applyFill="1"/>
    <xf numFmtId="0" fontId="3" fillId="4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>
      <selection activeCell="O18" sqref="O18"/>
    </sheetView>
  </sheetViews>
  <sheetFormatPr baseColWidth="10" defaultColWidth="9.140625" defaultRowHeight="15" x14ac:dyDescent="0.25"/>
  <cols>
    <col min="1" max="1" width="35" customWidth="1"/>
    <col min="2" max="8" width="12.85546875" customWidth="1"/>
  </cols>
  <sheetData>
    <row r="1" spans="1:8" ht="15.75" x14ac:dyDescent="0.25">
      <c r="A1" s="3" t="s">
        <v>0</v>
      </c>
      <c r="B1" s="3"/>
      <c r="C1" s="3"/>
      <c r="D1" s="3"/>
      <c r="E1" s="3"/>
      <c r="F1" s="3"/>
      <c r="G1" s="3"/>
      <c r="H1" s="3"/>
    </row>
    <row r="3" spans="1:8" x14ac:dyDescent="0.25">
      <c r="A3" s="1" t="s">
        <v>1</v>
      </c>
    </row>
    <row r="4" spans="1:8" x14ac:dyDescent="0.25">
      <c r="A4" s="4" t="s">
        <v>2</v>
      </c>
    </row>
    <row r="5" spans="1:8" x14ac:dyDescent="0.25">
      <c r="A5" t="s">
        <v>3</v>
      </c>
    </row>
    <row r="7" spans="1:8" x14ac:dyDescent="0.25">
      <c r="A7" s="1" t="s">
        <v>4</v>
      </c>
    </row>
    <row r="8" spans="1:8" x14ac:dyDescent="0.25">
      <c r="A8" t="s">
        <v>5</v>
      </c>
    </row>
    <row r="9" spans="1:8" x14ac:dyDescent="0.25">
      <c r="A9" t="s">
        <v>6</v>
      </c>
    </row>
    <row r="11" spans="1:8" x14ac:dyDescent="0.25">
      <c r="A11" s="1" t="s">
        <v>7</v>
      </c>
    </row>
    <row r="12" spans="1:8" x14ac:dyDescent="0.25">
      <c r="A12" t="s">
        <v>8</v>
      </c>
    </row>
    <row r="13" spans="1:8" x14ac:dyDescent="0.25">
      <c r="A13" t="s">
        <v>9</v>
      </c>
    </row>
    <row r="16" spans="1:8" ht="15.75" x14ac:dyDescent="0.25">
      <c r="A16" s="3" t="s">
        <v>10</v>
      </c>
      <c r="B16" s="3"/>
      <c r="C16" s="3"/>
      <c r="D16" s="3"/>
      <c r="E16" s="3"/>
      <c r="F16" s="3"/>
      <c r="G16" s="3"/>
      <c r="H16" s="3"/>
    </row>
    <row r="17" spans="1:8" x14ac:dyDescent="0.25">
      <c r="A17" s="2" t="s">
        <v>11</v>
      </c>
      <c r="B17" s="2" t="s">
        <v>26</v>
      </c>
      <c r="C17" s="2" t="s">
        <v>27</v>
      </c>
      <c r="D17" s="2" t="s">
        <v>28</v>
      </c>
      <c r="E17" s="2" t="s">
        <v>22</v>
      </c>
      <c r="F17" s="2" t="s">
        <v>23</v>
      </c>
      <c r="G17" s="2" t="s">
        <v>24</v>
      </c>
      <c r="H17" s="2" t="s">
        <v>25</v>
      </c>
    </row>
    <row r="18" spans="1:8" x14ac:dyDescent="0.25">
      <c r="A18" t="s">
        <v>12</v>
      </c>
      <c r="B18">
        <v>2186</v>
      </c>
      <c r="C18">
        <v>2111</v>
      </c>
      <c r="D18">
        <v>2432</v>
      </c>
      <c r="E18">
        <v>1000</v>
      </c>
      <c r="F18">
        <v>1000</v>
      </c>
      <c r="G18">
        <v>1000</v>
      </c>
      <c r="H18">
        <v>1000</v>
      </c>
    </row>
    <row r="19" spans="1:8" x14ac:dyDescent="0.25">
      <c r="A19" t="s">
        <v>13</v>
      </c>
      <c r="B19">
        <v>82</v>
      </c>
      <c r="C19">
        <v>82</v>
      </c>
      <c r="D19">
        <v>70</v>
      </c>
      <c r="E19">
        <v>60</v>
      </c>
      <c r="F19">
        <v>60</v>
      </c>
      <c r="G19">
        <v>60</v>
      </c>
      <c r="H19">
        <v>60</v>
      </c>
    </row>
    <row r="20" spans="1:8" x14ac:dyDescent="0.25">
      <c r="A20" t="s">
        <v>14</v>
      </c>
      <c r="B20">
        <v>54.3</v>
      </c>
      <c r="C20">
        <v>44.2</v>
      </c>
      <c r="D20">
        <v>29.6</v>
      </c>
      <c r="E20">
        <v>23</v>
      </c>
      <c r="F20">
        <v>23</v>
      </c>
      <c r="G20">
        <v>23</v>
      </c>
      <c r="H20">
        <v>23</v>
      </c>
    </row>
    <row r="21" spans="1:8" x14ac:dyDescent="0.25">
      <c r="A21" t="s">
        <v>15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25">
      <c r="A22" t="s">
        <v>16</v>
      </c>
      <c r="B22">
        <v>82</v>
      </c>
      <c r="C22">
        <v>81.400000000000006</v>
      </c>
      <c r="D22">
        <v>55.7</v>
      </c>
      <c r="E22">
        <v>42</v>
      </c>
      <c r="F22">
        <v>42</v>
      </c>
      <c r="G22">
        <v>42</v>
      </c>
      <c r="H22">
        <v>42</v>
      </c>
    </row>
    <row r="23" spans="1:8" x14ac:dyDescent="0.25">
      <c r="A23" t="s">
        <v>17</v>
      </c>
      <c r="B23">
        <v>226.4</v>
      </c>
      <c r="C23">
        <v>240.2</v>
      </c>
      <c r="D23">
        <v>235.4</v>
      </c>
      <c r="E23">
        <v>203</v>
      </c>
      <c r="F23">
        <v>203</v>
      </c>
      <c r="G23">
        <v>203</v>
      </c>
      <c r="H23">
        <v>203</v>
      </c>
    </row>
    <row r="26" spans="1:8" ht="15.75" x14ac:dyDescent="0.25">
      <c r="A26" s="3" t="s">
        <v>18</v>
      </c>
      <c r="B26" s="3"/>
      <c r="C26" s="3"/>
      <c r="D26" s="3"/>
      <c r="E26" s="3"/>
      <c r="F26" s="3"/>
      <c r="G26" s="3"/>
      <c r="H26" s="3"/>
    </row>
    <row r="27" spans="1:8" x14ac:dyDescent="0.25">
      <c r="A27" s="2" t="s">
        <v>11</v>
      </c>
      <c r="B27" s="2" t="str">
        <f>B17</f>
        <v>Iuno 1</v>
      </c>
      <c r="C27" s="2" t="str">
        <f t="shared" ref="C27:H27" si="0">C17</f>
        <v>Iuno 2</v>
      </c>
      <c r="D27" s="2" t="str">
        <f t="shared" si="0"/>
        <v>Augusta 1</v>
      </c>
      <c r="E27" s="2" t="str">
        <f t="shared" si="0"/>
        <v>Iteration 4</v>
      </c>
      <c r="F27" s="2" t="str">
        <f t="shared" si="0"/>
        <v>Iteration 5</v>
      </c>
      <c r="G27" s="2" t="str">
        <f t="shared" si="0"/>
        <v>Iteration 6</v>
      </c>
      <c r="H27" s="2" t="str">
        <f t="shared" si="0"/>
        <v>Iteration 7</v>
      </c>
    </row>
    <row r="28" spans="1:8" x14ac:dyDescent="0.25">
      <c r="A28" t="s">
        <v>19</v>
      </c>
      <c r="B28" s="5">
        <f>B18*(1+(B19+B20+B21)/100)</f>
        <v>5165.5180000000009</v>
      </c>
      <c r="C28" s="5">
        <f>C18*(1+(C19+C20+C21)/100)</f>
        <v>4775.0820000000003</v>
      </c>
      <c r="D28" s="5">
        <f t="shared" ref="D28:H28" si="1">D18*(1+(D19+D20+D21)/100)</f>
        <v>4854.2719999999999</v>
      </c>
      <c r="E28">
        <f t="shared" si="1"/>
        <v>1830</v>
      </c>
      <c r="F28">
        <f t="shared" si="1"/>
        <v>1830</v>
      </c>
      <c r="G28">
        <f t="shared" si="1"/>
        <v>1830</v>
      </c>
      <c r="H28">
        <f t="shared" si="1"/>
        <v>1830</v>
      </c>
    </row>
    <row r="29" spans="1:8" x14ac:dyDescent="0.25">
      <c r="A29" t="s">
        <v>20</v>
      </c>
      <c r="B29" s="5">
        <f>B18*(1+(B19+B20+B21)/100)*(1+B23/100)</f>
        <v>16860.250752000004</v>
      </c>
      <c r="C29" s="5">
        <f>C18*(1+(C19+C20+C21)/100)*(1+C23/100)</f>
        <v>16244.828964</v>
      </c>
      <c r="D29" s="5">
        <f t="shared" ref="D29:H29" si="2">D18*(1+(D19+D20+D21)/100)*(1+D23/100)</f>
        <v>16281.228288</v>
      </c>
      <c r="E29">
        <f t="shared" si="2"/>
        <v>5544.9</v>
      </c>
      <c r="F29">
        <f t="shared" si="2"/>
        <v>5544.9</v>
      </c>
      <c r="G29">
        <f t="shared" si="2"/>
        <v>5544.9</v>
      </c>
      <c r="H29">
        <f t="shared" si="2"/>
        <v>5544.9</v>
      </c>
    </row>
    <row r="30" spans="1:8" x14ac:dyDescent="0.25">
      <c r="A30" t="s">
        <v>21</v>
      </c>
      <c r="B30" s="5">
        <f>B18*(1+(B19+B20+B21)/100)*(1+(B22/100)*(B23/100))</f>
        <v>14755.198856640005</v>
      </c>
      <c r="C30" s="5">
        <f>C18*(1+(C19+C20+C21)/100)*(1+(C22/100)*(C23/100))</f>
        <v>14111.456028696</v>
      </c>
      <c r="D30" s="5">
        <f t="shared" ref="D30:H30" si="3">D18*(1+(D19+D20+D21)/100)*(1+(D22/100)*(D23/100))</f>
        <v>11219.086652415999</v>
      </c>
      <c r="E30">
        <f t="shared" si="3"/>
        <v>3390.2579999999998</v>
      </c>
      <c r="F30">
        <f t="shared" si="3"/>
        <v>3390.2579999999998</v>
      </c>
      <c r="G30">
        <f t="shared" si="3"/>
        <v>3390.2579999999998</v>
      </c>
      <c r="H30">
        <f t="shared" si="3"/>
        <v>3390.2579999999998</v>
      </c>
    </row>
  </sheetData>
  <mergeCells count="3">
    <mergeCell ref="A1:H1"/>
    <mergeCell ref="A16:H16"/>
    <mergeCell ref="A26:H26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Damage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Philipp Steinmann</cp:lastModifiedBy>
  <dcterms:created xsi:type="dcterms:W3CDTF">2026-01-21T13:44:16Z</dcterms:created>
  <dcterms:modified xsi:type="dcterms:W3CDTF">2026-01-21T13:57:32Z</dcterms:modified>
</cp:coreProperties>
</file>